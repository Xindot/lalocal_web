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<sst xmlns="http://schemas.openxmlformats.org/spreadsheetml/2006/main" count="120">
  <si>
    <t>序号</t>
  </si>
  <si>
    <t>姓名</t>
  </si>
  <si>
    <t>拼音</t>
  </si>
  <si>
    <t>性别</t>
  </si>
  <si>
    <t>出生日期</t>
  </si>
  <si>
    <t>出生地</t>
  </si>
  <si>
    <t>护照号</t>
  </si>
  <si>
    <t>签发地</t>
  </si>
  <si>
    <t>签发日期</t>
  </si>
  <si>
    <t>有效期</t>
  </si>
  <si>
    <t>组团单位</t>
  </si>
  <si>
    <t>业务人员</t>
  </si>
  <si>
    <t>身份证号码</t>
  </si>
  <si>
    <t>联系电话</t>
  </si>
  <si>
    <t>备注</t>
  </si>
  <si>
    <t>王海（日）</t>
  </si>
  <si>
    <t>男</t>
  </si>
  <si>
    <t>130000000000</t>
  </si>
  <si>
    <t>刘慧萍</t>
  </si>
  <si>
    <t>LIU HUIPING</t>
  </si>
  <si>
    <t>女</t>
  </si>
  <si>
    <t>江西</t>
  </si>
  <si>
    <t>G54914506</t>
  </si>
  <si>
    <t>杭州萧山中青旅旅行社有限公司</t>
  </si>
  <si>
    <t>倪正</t>
  </si>
  <si>
    <t>1</t>
  </si>
  <si>
    <t>13867110821</t>
  </si>
  <si>
    <t>刘燕萍</t>
  </si>
  <si>
    <t>LIU YANPING</t>
  </si>
  <si>
    <t>E13651083</t>
  </si>
  <si>
    <t>2</t>
  </si>
  <si>
    <t>杨丽</t>
  </si>
  <si>
    <t>YANG LI</t>
  </si>
  <si>
    <t>浙江</t>
  </si>
  <si>
    <t>E10450719</t>
  </si>
  <si>
    <t>13735803419</t>
  </si>
  <si>
    <t>潘利伟</t>
  </si>
  <si>
    <t>PAN LIWEI</t>
  </si>
  <si>
    <t>E62865753</t>
  </si>
  <si>
    <t>金琦</t>
  </si>
  <si>
    <t>JIN QI</t>
  </si>
  <si>
    <t>直客</t>
  </si>
  <si>
    <t>丁春花</t>
  </si>
  <si>
    <t>15968873889</t>
  </si>
  <si>
    <t>张达</t>
  </si>
  <si>
    <t>ZHANG DA</t>
  </si>
  <si>
    <t>王云龙</t>
  </si>
  <si>
    <t>WANG YUNLONG</t>
  </si>
  <si>
    <t>E53770058</t>
  </si>
  <si>
    <t>欧艳</t>
  </si>
  <si>
    <t>15988131061</t>
  </si>
  <si>
    <t>徐王芳</t>
  </si>
  <si>
    <t>XU WANGFANG</t>
  </si>
  <si>
    <t>E53777142</t>
  </si>
  <si>
    <t>张燕迅</t>
  </si>
  <si>
    <t>ZHANG YANXUN</t>
  </si>
  <si>
    <t>E54465701</t>
  </si>
  <si>
    <t>3</t>
  </si>
  <si>
    <t>马西稳</t>
  </si>
  <si>
    <t>MA XIWEN</t>
  </si>
  <si>
    <t>河南</t>
  </si>
  <si>
    <t>E65126543</t>
  </si>
  <si>
    <t>余盼盼</t>
  </si>
  <si>
    <t>15158860021</t>
  </si>
  <si>
    <t>杨雪芳</t>
  </si>
  <si>
    <t>YANG XUEFANG</t>
  </si>
  <si>
    <t>G35070651</t>
  </si>
  <si>
    <t>邵文英</t>
  </si>
  <si>
    <t>SHAO WENYING</t>
  </si>
  <si>
    <t>E15127222</t>
  </si>
  <si>
    <t>中青旅遨游网</t>
  </si>
  <si>
    <t>孙晓青</t>
  </si>
  <si>
    <t>330103195709220726</t>
  </si>
  <si>
    <t>13858156886</t>
  </si>
  <si>
    <t>朱小弟</t>
  </si>
  <si>
    <t>ZHU XIAODI</t>
  </si>
  <si>
    <t>E15127567</t>
  </si>
  <si>
    <t>330103195502270718</t>
  </si>
  <si>
    <t>金玉姬</t>
  </si>
  <si>
    <t>JIN YUJI</t>
  </si>
  <si>
    <t>黑龙江</t>
  </si>
  <si>
    <t>G50691091</t>
  </si>
  <si>
    <t>嘉兴市中青旅国际旅游有限公司</t>
  </si>
  <si>
    <t>23100519490822202X</t>
  </si>
  <si>
    <t>金玉善</t>
  </si>
  <si>
    <t>JIN YUSHAN</t>
  </si>
  <si>
    <t>G54492474</t>
  </si>
  <si>
    <t>232102194910030024</t>
  </si>
  <si>
    <t>15325355752</t>
  </si>
  <si>
    <t>何松</t>
  </si>
  <si>
    <t>HE SONG</t>
  </si>
  <si>
    <t>E12516489</t>
  </si>
  <si>
    <t>杜斐斐</t>
  </si>
  <si>
    <t>330521199104133614</t>
  </si>
  <si>
    <t>15869148051</t>
  </si>
  <si>
    <t>丁明明</t>
  </si>
  <si>
    <t>DING MINGMING</t>
  </si>
  <si>
    <t>E53146116</t>
  </si>
  <si>
    <t>330501199007227488</t>
  </si>
  <si>
    <t>胡作全</t>
  </si>
  <si>
    <t>HU ZUOQUAN</t>
  </si>
  <si>
    <t>G44265257</t>
  </si>
  <si>
    <t>徐远</t>
  </si>
  <si>
    <t>13968106868</t>
  </si>
  <si>
    <t>邵秋英</t>
  </si>
  <si>
    <t>SHAO QIUYING</t>
  </si>
  <si>
    <t>G43947935</t>
  </si>
  <si>
    <t>13968116160</t>
  </si>
  <si>
    <t>钟佳媚</t>
  </si>
  <si>
    <t>ZHONG JIAMEI</t>
  </si>
  <si>
    <t>G31877372</t>
  </si>
  <si>
    <t>兼职领队</t>
  </si>
  <si>
    <t>黄昌顺</t>
  </si>
  <si>
    <t>HUANG CHANGSHUN</t>
  </si>
  <si>
    <t>E62439596</t>
  </si>
  <si>
    <t>胡娜</t>
  </si>
  <si>
    <t>13736288608</t>
  </si>
  <si>
    <t>邱秀春</t>
  </si>
  <si>
    <t>QIU XIUCHUN</t>
  </si>
  <si>
    <t>E62438950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</si>
</sst>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0" borderId="6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0" fontId="3" fillId="5" borderId="3" applyNumberFormat="0" applyAlignment="0" applyProtection="0">
      <alignment vertical="center"/>
    </xf>
    <xf numFmtId="0" fontId="19" fillId="24" borderId="10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D48886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4"/>
  <sheetViews>
    <sheetView tabSelected="1" workbookViewId="0">
      <selection activeCell="F29" sqref="F29"/>
    </sheetView>
  </sheetViews>
  <sheetFormatPr defaultColWidth="9" defaultRowHeight="13.5"/>
  <cols>
    <col min="1" max="1" width="3.75" customWidth="1"/>
    <col min="2" max="2" width="6" customWidth="1"/>
    <col min="3" max="3" width="16.25" customWidth="1"/>
    <col min="4" max="4" width="3.75" customWidth="1"/>
    <col min="5" max="5" width="11.375" customWidth="1"/>
    <col min="6" max="6" width="5" customWidth="1"/>
    <col min="7" max="7" width="9.375" customWidth="1"/>
    <col min="8" max="8" width="5" customWidth="1"/>
    <col min="9" max="9" width="13.5" customWidth="1"/>
    <col min="10" max="10" width="11.625" customWidth="1"/>
    <col min="11" max="11" width="29.625" customWidth="1"/>
    <col min="12" max="12" width="7.5" customWidth="1"/>
    <col min="13" max="13" width="18.125" customWidth="1"/>
    <col min="14" max="14" width="11.25" customWidth="1"/>
    <col min="15" max="15" width="18.875" customWidth="1"/>
    <col min="16" max="16" width="0.25" customWidth="1"/>
  </cols>
  <sheetData>
    <row r="1" ht="1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/>
    </row>
    <row r="2" ht="29.25" customHeight="1" spans="1:16">
      <c r="A2" s="2">
        <v>1</v>
      </c>
      <c r="B2" s="3" t="s">
        <v>15</v>
      </c>
      <c r="C2" s="3"/>
      <c r="D2" s="4" t="s">
        <v>16</v>
      </c>
      <c r="E2" s="5"/>
      <c r="F2" s="4"/>
      <c r="G2" s="4"/>
      <c r="H2" s="4"/>
      <c r="I2" s="5"/>
      <c r="J2" s="5"/>
      <c r="K2" s="3"/>
      <c r="L2" s="4"/>
      <c r="M2" s="4"/>
      <c r="N2" s="4" t="s">
        <v>17</v>
      </c>
      <c r="O2" s="3"/>
      <c r="P2" s="7"/>
    </row>
    <row r="3" ht="15" customHeight="1" spans="1:16">
      <c r="A3" s="2">
        <f>2</f>
        <v>2</v>
      </c>
      <c r="B3" s="3" t="s">
        <v>18</v>
      </c>
      <c r="C3" s="3" t="s">
        <v>19</v>
      </c>
      <c r="D3" s="4" t="s">
        <v>20</v>
      </c>
      <c r="E3" s="5">
        <v>33156</v>
      </c>
      <c r="F3" s="4" t="s">
        <v>21</v>
      </c>
      <c r="G3" s="4" t="s">
        <v>22</v>
      </c>
      <c r="H3" s="4" t="s">
        <v>21</v>
      </c>
      <c r="I3" s="5">
        <v>40808</v>
      </c>
      <c r="J3" s="5">
        <v>44460</v>
      </c>
      <c r="K3" s="3" t="s">
        <v>23</v>
      </c>
      <c r="L3" s="4" t="s">
        <v>24</v>
      </c>
      <c r="M3" s="4" t="s">
        <v>25</v>
      </c>
      <c r="N3" s="4" t="s">
        <v>26</v>
      </c>
      <c r="O3" s="3"/>
      <c r="P3" s="7"/>
    </row>
    <row r="4" ht="15" customHeight="1" spans="1:16">
      <c r="A4" s="2">
        <f>3</f>
        <v>3</v>
      </c>
      <c r="B4" s="3" t="s">
        <v>27</v>
      </c>
      <c r="C4" s="3" t="s">
        <v>28</v>
      </c>
      <c r="D4" s="4" t="s">
        <v>20</v>
      </c>
      <c r="E4" s="5">
        <v>32123</v>
      </c>
      <c r="F4" s="4" t="s">
        <v>21</v>
      </c>
      <c r="G4" s="4" t="s">
        <v>29</v>
      </c>
      <c r="H4" s="4" t="s">
        <v>21</v>
      </c>
      <c r="I4" s="5">
        <v>41352</v>
      </c>
      <c r="J4" s="5">
        <v>45003</v>
      </c>
      <c r="K4" s="3" t="s">
        <v>23</v>
      </c>
      <c r="L4" s="4" t="s">
        <v>24</v>
      </c>
      <c r="M4" s="4" t="s">
        <v>30</v>
      </c>
      <c r="N4" s="4"/>
      <c r="O4" s="3"/>
      <c r="P4" s="7"/>
    </row>
    <row r="5" ht="15" customHeight="1" spans="1:16">
      <c r="A5" s="2">
        <f>4</f>
        <v>4</v>
      </c>
      <c r="B5" s="3" t="s">
        <v>31</v>
      </c>
      <c r="C5" s="3" t="s">
        <v>32</v>
      </c>
      <c r="D5" s="4" t="s">
        <v>20</v>
      </c>
      <c r="E5" s="5">
        <v>32446</v>
      </c>
      <c r="F5" s="4" t="s">
        <v>33</v>
      </c>
      <c r="G5" s="4" t="s">
        <v>34</v>
      </c>
      <c r="H5" s="4" t="s">
        <v>33</v>
      </c>
      <c r="I5" s="5">
        <v>41271</v>
      </c>
      <c r="J5" s="5">
        <v>44922</v>
      </c>
      <c r="K5" s="3" t="s">
        <v>23</v>
      </c>
      <c r="L5" s="4" t="s">
        <v>24</v>
      </c>
      <c r="M5" s="4" t="s">
        <v>25</v>
      </c>
      <c r="N5" s="4" t="s">
        <v>35</v>
      </c>
      <c r="O5" s="3"/>
      <c r="P5" s="7"/>
    </row>
    <row r="6" ht="15" customHeight="1" spans="1:16">
      <c r="A6" s="2">
        <f>5</f>
        <v>5</v>
      </c>
      <c r="B6" s="3" t="s">
        <v>36</v>
      </c>
      <c r="C6" s="3" t="s">
        <v>37</v>
      </c>
      <c r="D6" s="4" t="s">
        <v>16</v>
      </c>
      <c r="E6" s="5">
        <v>32620</v>
      </c>
      <c r="F6" s="4" t="s">
        <v>33</v>
      </c>
      <c r="G6" s="4" t="s">
        <v>38</v>
      </c>
      <c r="H6" s="4" t="s">
        <v>33</v>
      </c>
      <c r="I6" s="5">
        <v>42312</v>
      </c>
      <c r="J6" s="5">
        <v>45964</v>
      </c>
      <c r="K6" s="3" t="s">
        <v>23</v>
      </c>
      <c r="L6" s="4" t="s">
        <v>24</v>
      </c>
      <c r="M6" s="4" t="s">
        <v>30</v>
      </c>
      <c r="N6" s="4"/>
      <c r="O6" s="3"/>
      <c r="P6" s="7"/>
    </row>
    <row r="7" ht="15" customHeight="1" spans="1:16">
      <c r="A7" s="2">
        <f>6</f>
        <v>6</v>
      </c>
      <c r="B7" s="3" t="s">
        <v>39</v>
      </c>
      <c r="C7" s="3" t="s">
        <v>40</v>
      </c>
      <c r="D7" s="4" t="s">
        <v>16</v>
      </c>
      <c r="E7" s="5"/>
      <c r="F7" s="4" t="s">
        <v>33</v>
      </c>
      <c r="G7" s="4"/>
      <c r="H7" s="4" t="s">
        <v>33</v>
      </c>
      <c r="I7" s="5"/>
      <c r="J7" s="5"/>
      <c r="K7" s="3" t="s">
        <v>41</v>
      </c>
      <c r="L7" s="4" t="s">
        <v>42</v>
      </c>
      <c r="M7" s="4" t="s">
        <v>25</v>
      </c>
      <c r="N7" s="4" t="s">
        <v>43</v>
      </c>
      <c r="O7" s="3"/>
      <c r="P7" s="7"/>
    </row>
    <row r="8" ht="15" customHeight="1" spans="1:16">
      <c r="A8" s="2">
        <f>7</f>
        <v>7</v>
      </c>
      <c r="B8" s="3" t="s">
        <v>44</v>
      </c>
      <c r="C8" s="3" t="s">
        <v>45</v>
      </c>
      <c r="D8" s="4" t="s">
        <v>20</v>
      </c>
      <c r="E8" s="5"/>
      <c r="F8" s="4" t="s">
        <v>33</v>
      </c>
      <c r="G8" s="4"/>
      <c r="H8" s="4" t="s">
        <v>33</v>
      </c>
      <c r="I8" s="5"/>
      <c r="J8" s="5"/>
      <c r="K8" s="3" t="s">
        <v>41</v>
      </c>
      <c r="L8" s="4" t="s">
        <v>42</v>
      </c>
      <c r="M8" s="4" t="s">
        <v>30</v>
      </c>
      <c r="N8" s="4"/>
      <c r="O8" s="3"/>
      <c r="P8" s="7"/>
    </row>
    <row r="9" ht="15" customHeight="1" spans="1:16">
      <c r="A9" s="2">
        <f>8</f>
        <v>8</v>
      </c>
      <c r="B9" s="3" t="s">
        <v>46</v>
      </c>
      <c r="C9" s="3" t="s">
        <v>47</v>
      </c>
      <c r="D9" s="4" t="s">
        <v>16</v>
      </c>
      <c r="E9" s="5">
        <v>32429</v>
      </c>
      <c r="F9" s="4" t="s">
        <v>33</v>
      </c>
      <c r="G9" s="4" t="s">
        <v>48</v>
      </c>
      <c r="H9" s="4" t="s">
        <v>33</v>
      </c>
      <c r="I9" s="5">
        <v>42178</v>
      </c>
      <c r="J9" s="5">
        <v>45830</v>
      </c>
      <c r="K9" s="3" t="s">
        <v>41</v>
      </c>
      <c r="L9" s="4" t="s">
        <v>49</v>
      </c>
      <c r="M9" s="4" t="s">
        <v>25</v>
      </c>
      <c r="N9" s="4" t="s">
        <v>50</v>
      </c>
      <c r="O9" s="3"/>
      <c r="P9" s="7"/>
    </row>
    <row r="10" ht="15" customHeight="1" spans="1:16">
      <c r="A10" s="2">
        <f>9</f>
        <v>9</v>
      </c>
      <c r="B10" s="3" t="s">
        <v>51</v>
      </c>
      <c r="C10" s="3" t="s">
        <v>52</v>
      </c>
      <c r="D10" s="4" t="s">
        <v>20</v>
      </c>
      <c r="E10" s="5">
        <v>32673</v>
      </c>
      <c r="F10" s="4" t="s">
        <v>33</v>
      </c>
      <c r="G10" s="4" t="s">
        <v>53</v>
      </c>
      <c r="H10" s="4" t="s">
        <v>33</v>
      </c>
      <c r="I10" s="5">
        <v>42179</v>
      </c>
      <c r="J10" s="5">
        <v>45831</v>
      </c>
      <c r="K10" s="3" t="s">
        <v>41</v>
      </c>
      <c r="L10" s="4" t="s">
        <v>49</v>
      </c>
      <c r="M10" s="4" t="s">
        <v>30</v>
      </c>
      <c r="N10" s="4"/>
      <c r="O10" s="3"/>
      <c r="P10" s="7"/>
    </row>
    <row r="11" ht="15" customHeight="1" spans="1:16">
      <c r="A11" s="2">
        <f>10</f>
        <v>10</v>
      </c>
      <c r="B11" s="3" t="s">
        <v>54</v>
      </c>
      <c r="C11" s="3" t="s">
        <v>55</v>
      </c>
      <c r="D11" s="4" t="s">
        <v>20</v>
      </c>
      <c r="E11" s="5">
        <v>22976</v>
      </c>
      <c r="F11" s="4" t="s">
        <v>33</v>
      </c>
      <c r="G11" s="4" t="s">
        <v>56</v>
      </c>
      <c r="H11" s="4" t="s">
        <v>33</v>
      </c>
      <c r="I11" s="5">
        <v>42191</v>
      </c>
      <c r="J11" s="5">
        <v>45843</v>
      </c>
      <c r="K11" s="3" t="s">
        <v>41</v>
      </c>
      <c r="L11" s="4" t="s">
        <v>49</v>
      </c>
      <c r="M11" s="4" t="s">
        <v>57</v>
      </c>
      <c r="N11" s="4"/>
      <c r="O11" s="3"/>
      <c r="P11" s="7"/>
    </row>
    <row r="12" ht="15" customHeight="1" spans="1:16">
      <c r="A12" s="2">
        <f>11</f>
        <v>11</v>
      </c>
      <c r="B12" s="3" t="s">
        <v>58</v>
      </c>
      <c r="C12" s="3" t="s">
        <v>59</v>
      </c>
      <c r="D12" s="4" t="s">
        <v>16</v>
      </c>
      <c r="E12" s="5">
        <v>19480</v>
      </c>
      <c r="F12" s="4" t="s">
        <v>60</v>
      </c>
      <c r="G12" s="4" t="s">
        <v>61</v>
      </c>
      <c r="H12" s="4" t="s">
        <v>33</v>
      </c>
      <c r="I12" s="5">
        <v>42354</v>
      </c>
      <c r="J12" s="5">
        <v>46006</v>
      </c>
      <c r="K12" s="3" t="s">
        <v>41</v>
      </c>
      <c r="L12" s="4" t="s">
        <v>62</v>
      </c>
      <c r="M12" s="4" t="s">
        <v>25</v>
      </c>
      <c r="N12" s="4" t="s">
        <v>63</v>
      </c>
      <c r="O12" s="3"/>
      <c r="P12" s="7"/>
    </row>
    <row r="13" ht="15" customHeight="1" spans="1:16">
      <c r="A13" s="2">
        <f>12</f>
        <v>12</v>
      </c>
      <c r="B13" s="3" t="s">
        <v>64</v>
      </c>
      <c r="C13" s="3" t="s">
        <v>65</v>
      </c>
      <c r="D13" s="4" t="s">
        <v>20</v>
      </c>
      <c r="E13" s="5">
        <v>20075</v>
      </c>
      <c r="F13" s="4" t="s">
        <v>60</v>
      </c>
      <c r="G13" s="4" t="s">
        <v>66</v>
      </c>
      <c r="H13" s="4" t="s">
        <v>33</v>
      </c>
      <c r="I13" s="5">
        <v>39912</v>
      </c>
      <c r="J13" s="5">
        <v>43563</v>
      </c>
      <c r="K13" s="3" t="s">
        <v>41</v>
      </c>
      <c r="L13" s="4" t="s">
        <v>62</v>
      </c>
      <c r="M13" s="4" t="s">
        <v>30</v>
      </c>
      <c r="N13" s="4"/>
      <c r="O13" s="3"/>
      <c r="P13" s="7"/>
    </row>
    <row r="14" ht="15" customHeight="1" spans="1:16">
      <c r="A14" s="2">
        <f>13</f>
        <v>13</v>
      </c>
      <c r="B14" s="3" t="s">
        <v>67</v>
      </c>
      <c r="C14" s="3" t="s">
        <v>68</v>
      </c>
      <c r="D14" s="4" t="s">
        <v>20</v>
      </c>
      <c r="E14" s="5">
        <v>21085</v>
      </c>
      <c r="F14" s="4" t="s">
        <v>33</v>
      </c>
      <c r="G14" s="4" t="s">
        <v>69</v>
      </c>
      <c r="H14" s="4" t="s">
        <v>33</v>
      </c>
      <c r="I14" s="5">
        <v>41376</v>
      </c>
      <c r="J14" s="5">
        <v>45027</v>
      </c>
      <c r="K14" s="3" t="s">
        <v>70</v>
      </c>
      <c r="L14" s="4" t="s">
        <v>71</v>
      </c>
      <c r="M14" s="4" t="s">
        <v>72</v>
      </c>
      <c r="N14" s="4" t="s">
        <v>73</v>
      </c>
      <c r="O14" s="3"/>
      <c r="P14" s="7"/>
    </row>
    <row r="15" ht="15" customHeight="1" spans="1:16">
      <c r="A15" s="2">
        <f>14</f>
        <v>14</v>
      </c>
      <c r="B15" s="3" t="s">
        <v>74</v>
      </c>
      <c r="C15" s="3" t="s">
        <v>75</v>
      </c>
      <c r="D15" s="4" t="s">
        <v>16</v>
      </c>
      <c r="E15" s="5">
        <v>20147</v>
      </c>
      <c r="F15" s="4" t="s">
        <v>33</v>
      </c>
      <c r="G15" s="4" t="s">
        <v>76</v>
      </c>
      <c r="H15" s="4" t="s">
        <v>33</v>
      </c>
      <c r="I15" s="5">
        <v>41379</v>
      </c>
      <c r="J15" s="5">
        <v>45030</v>
      </c>
      <c r="K15" s="3" t="s">
        <v>70</v>
      </c>
      <c r="L15" s="4" t="s">
        <v>71</v>
      </c>
      <c r="M15" s="4" t="s">
        <v>77</v>
      </c>
      <c r="N15" s="4"/>
      <c r="O15" s="3"/>
      <c r="P15" s="7"/>
    </row>
    <row r="16" ht="15" customHeight="1" spans="1:16">
      <c r="A16" s="2">
        <f>15</f>
        <v>15</v>
      </c>
      <c r="B16" s="3" t="s">
        <v>78</v>
      </c>
      <c r="C16" s="3" t="s">
        <v>79</v>
      </c>
      <c r="D16" s="4" t="s">
        <v>20</v>
      </c>
      <c r="E16" s="5">
        <v>18132</v>
      </c>
      <c r="F16" s="4" t="s">
        <v>80</v>
      </c>
      <c r="G16" s="4" t="s">
        <v>81</v>
      </c>
      <c r="H16" s="4" t="s">
        <v>80</v>
      </c>
      <c r="I16" s="5">
        <v>40753</v>
      </c>
      <c r="J16" s="5">
        <v>44405</v>
      </c>
      <c r="K16" s="3" t="s">
        <v>82</v>
      </c>
      <c r="L16" s="4" t="s">
        <v>24</v>
      </c>
      <c r="M16" s="4" t="s">
        <v>83</v>
      </c>
      <c r="N16" s="4"/>
      <c r="O16" s="3"/>
      <c r="P16" s="7"/>
    </row>
    <row r="17" ht="15" customHeight="1" spans="1:16">
      <c r="A17" s="2">
        <f>16</f>
        <v>16</v>
      </c>
      <c r="B17" s="3" t="s">
        <v>84</v>
      </c>
      <c r="C17" s="3" t="s">
        <v>85</v>
      </c>
      <c r="D17" s="4" t="s">
        <v>20</v>
      </c>
      <c r="E17" s="5">
        <v>18174</v>
      </c>
      <c r="F17" s="4" t="s">
        <v>80</v>
      </c>
      <c r="G17" s="4" t="s">
        <v>86</v>
      </c>
      <c r="H17" s="4" t="s">
        <v>80</v>
      </c>
      <c r="I17" s="5">
        <v>40857</v>
      </c>
      <c r="J17" s="5">
        <v>44509</v>
      </c>
      <c r="K17" s="3" t="s">
        <v>82</v>
      </c>
      <c r="L17" s="4" t="s">
        <v>24</v>
      </c>
      <c r="M17" s="4" t="s">
        <v>87</v>
      </c>
      <c r="N17" s="4" t="s">
        <v>88</v>
      </c>
      <c r="O17" s="3"/>
      <c r="P17" s="7"/>
    </row>
    <row r="18" ht="15" customHeight="1" spans="1:16">
      <c r="A18" s="2">
        <f>17</f>
        <v>17</v>
      </c>
      <c r="B18" s="3" t="s">
        <v>89</v>
      </c>
      <c r="C18" s="3" t="s">
        <v>90</v>
      </c>
      <c r="D18" s="4" t="s">
        <v>16</v>
      </c>
      <c r="E18" s="5">
        <v>33341</v>
      </c>
      <c r="F18" s="4" t="s">
        <v>33</v>
      </c>
      <c r="G18" s="4" t="s">
        <v>91</v>
      </c>
      <c r="H18" s="4" t="s">
        <v>33</v>
      </c>
      <c r="I18" s="5">
        <v>41305</v>
      </c>
      <c r="J18" s="5">
        <v>44956</v>
      </c>
      <c r="K18" s="3" t="s">
        <v>41</v>
      </c>
      <c r="L18" s="4" t="s">
        <v>92</v>
      </c>
      <c r="M18" s="4" t="s">
        <v>93</v>
      </c>
      <c r="N18" s="4" t="s">
        <v>94</v>
      </c>
      <c r="O18" s="3"/>
      <c r="P18" s="7"/>
    </row>
    <row r="19" ht="15" customHeight="1" spans="1:16">
      <c r="A19" s="2">
        <f>18</f>
        <v>18</v>
      </c>
      <c r="B19" s="3" t="s">
        <v>95</v>
      </c>
      <c r="C19" s="3" t="s">
        <v>96</v>
      </c>
      <c r="D19" s="4" t="s">
        <v>20</v>
      </c>
      <c r="E19" s="5">
        <v>33076</v>
      </c>
      <c r="F19" s="4" t="s">
        <v>33</v>
      </c>
      <c r="G19" s="4" t="s">
        <v>97</v>
      </c>
      <c r="H19" s="4" t="s">
        <v>33</v>
      </c>
      <c r="I19" s="5">
        <v>42167</v>
      </c>
      <c r="J19" s="5">
        <v>45819</v>
      </c>
      <c r="K19" s="3" t="s">
        <v>41</v>
      </c>
      <c r="L19" s="4" t="s">
        <v>92</v>
      </c>
      <c r="M19" s="4" t="s">
        <v>98</v>
      </c>
      <c r="N19" s="4"/>
      <c r="O19" s="3"/>
      <c r="P19" s="7"/>
    </row>
    <row r="20" ht="15" customHeight="1" spans="1:16">
      <c r="A20" s="2">
        <f>19</f>
        <v>19</v>
      </c>
      <c r="B20" s="3" t="s">
        <v>99</v>
      </c>
      <c r="C20" s="3" t="s">
        <v>100</v>
      </c>
      <c r="D20" s="4" t="s">
        <v>16</v>
      </c>
      <c r="E20" s="5">
        <v>18366</v>
      </c>
      <c r="F20" s="4" t="s">
        <v>33</v>
      </c>
      <c r="G20" s="4" t="s">
        <v>101</v>
      </c>
      <c r="H20" s="4" t="s">
        <v>33</v>
      </c>
      <c r="I20" s="5">
        <v>40374</v>
      </c>
      <c r="J20" s="5">
        <v>44026</v>
      </c>
      <c r="K20" s="3" t="s">
        <v>41</v>
      </c>
      <c r="L20" s="4" t="s">
        <v>102</v>
      </c>
      <c r="M20" s="4" t="s">
        <v>25</v>
      </c>
      <c r="N20" s="4" t="s">
        <v>103</v>
      </c>
      <c r="O20" s="3"/>
      <c r="P20" s="7"/>
    </row>
    <row r="21" ht="15" customHeight="1" spans="1:16">
      <c r="A21" s="2">
        <f>20</f>
        <v>20</v>
      </c>
      <c r="B21" s="3" t="s">
        <v>104</v>
      </c>
      <c r="C21" s="3" t="s">
        <v>105</v>
      </c>
      <c r="D21" s="4" t="s">
        <v>20</v>
      </c>
      <c r="E21" s="5">
        <v>21520</v>
      </c>
      <c r="F21" s="4" t="s">
        <v>33</v>
      </c>
      <c r="G21" s="4" t="s">
        <v>106</v>
      </c>
      <c r="H21" s="4" t="s">
        <v>33</v>
      </c>
      <c r="I21" s="5">
        <v>40366</v>
      </c>
      <c r="J21" s="5">
        <v>44018</v>
      </c>
      <c r="K21" s="3" t="s">
        <v>41</v>
      </c>
      <c r="L21" s="4" t="s">
        <v>102</v>
      </c>
      <c r="M21" s="4" t="s">
        <v>30</v>
      </c>
      <c r="N21" s="4" t="s">
        <v>107</v>
      </c>
      <c r="O21" s="3"/>
      <c r="P21" s="7"/>
    </row>
    <row r="22" ht="15" customHeight="1" spans="1:16">
      <c r="A22" s="2">
        <f>21</f>
        <v>21</v>
      </c>
      <c r="B22" s="3" t="s">
        <v>108</v>
      </c>
      <c r="C22" s="3" t="s">
        <v>109</v>
      </c>
      <c r="D22" s="4" t="s">
        <v>20</v>
      </c>
      <c r="E22" s="5">
        <v>31957</v>
      </c>
      <c r="F22" s="4" t="s">
        <v>33</v>
      </c>
      <c r="G22" s="4" t="s">
        <v>110</v>
      </c>
      <c r="H22" s="4" t="s">
        <v>33</v>
      </c>
      <c r="I22" s="5">
        <v>39779</v>
      </c>
      <c r="J22" s="5">
        <v>43430</v>
      </c>
      <c r="K22" s="3" t="s">
        <v>41</v>
      </c>
      <c r="L22" s="4" t="s">
        <v>111</v>
      </c>
      <c r="M22" s="4" t="s">
        <v>25</v>
      </c>
      <c r="N22" s="4"/>
      <c r="O22" s="3"/>
      <c r="P22" s="7"/>
    </row>
    <row r="23" ht="29.25" customHeight="1" spans="1:16">
      <c r="A23" s="2">
        <f>22</f>
        <v>22</v>
      </c>
      <c r="B23" s="3" t="s">
        <v>112</v>
      </c>
      <c r="C23" s="3" t="s">
        <v>113</v>
      </c>
      <c r="D23" s="4" t="s">
        <v>16</v>
      </c>
      <c r="E23" s="5">
        <v>19817</v>
      </c>
      <c r="F23" s="4" t="s">
        <v>33</v>
      </c>
      <c r="G23" s="4" t="s">
        <v>114</v>
      </c>
      <c r="H23" s="4" t="s">
        <v>33</v>
      </c>
      <c r="I23" s="5">
        <v>42332</v>
      </c>
      <c r="J23" s="5">
        <v>45984</v>
      </c>
      <c r="K23" s="3" t="s">
        <v>41</v>
      </c>
      <c r="L23" s="4" t="s">
        <v>115</v>
      </c>
      <c r="M23" s="4" t="s">
        <v>25</v>
      </c>
      <c r="N23" s="4" t="s">
        <v>116</v>
      </c>
      <c r="O23" s="3"/>
      <c r="P23" s="7"/>
    </row>
    <row r="24" ht="15" customHeight="1" spans="1:16">
      <c r="A24" s="2">
        <f>23</f>
        <v>23</v>
      </c>
      <c r="B24" s="3" t="s">
        <v>117</v>
      </c>
      <c r="C24" s="3" t="s">
        <v>118</v>
      </c>
      <c r="D24" s="4" t="s">
        <v>20</v>
      </c>
      <c r="E24" s="5">
        <v>20669</v>
      </c>
      <c r="F24" s="4" t="s">
        <v>33</v>
      </c>
      <c r="G24" s="4" t="s">
        <v>119</v>
      </c>
      <c r="H24" s="4" t="s">
        <v>33</v>
      </c>
      <c r="I24" s="5">
        <v>42332</v>
      </c>
      <c r="J24" s="5">
        <v>45984</v>
      </c>
      <c r="K24" s="3" t="s">
        <v>41</v>
      </c>
      <c r="L24" s="4" t="s">
        <v>115</v>
      </c>
      <c r="M24" s="4" t="s">
        <v>30</v>
      </c>
      <c r="N24" s="4"/>
      <c r="O24" s="3"/>
      <c r="P24" s="7"/>
    </row>
  </sheetData>
  <pageMargins left="0.09375" right="0.09375" top="0.0541666666666667" bottom="0.211805555555556" header="0.3" footer="0.3"/>
  <pageSetup paperSize="9" orientation="landscape"/>
  <headerFooter>
    <oddFooter>&amp;C第&amp;P页,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USER-</cp:lastModifiedBy>
  <dcterms:created xsi:type="dcterms:W3CDTF">2011-12-31T06:39:00Z</dcterms:created>
  <dcterms:modified xsi:type="dcterms:W3CDTF">2016-07-18T08:45:03Z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